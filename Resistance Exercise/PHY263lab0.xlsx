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606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yuchun_feng_mail_utoronto_ca/Documents/"/>
    </mc:Choice>
  </mc:AlternateContent>
  <xr:revisionPtr revIDLastSave="0" documentId="8_{9871D18F-67DD-4979-9CD7-5141F2DA1289}" xr6:coauthVersionLast="47" xr6:coauthVersionMax="47" xr10:uidLastSave="{00000000-0000-0000-0000-000000000000}"/>
  <bookViews>
    <workbookView xWindow="-110" yWindow="-110" windowWidth="19420" windowHeight="10420" firstSheet="1" activeTab="2" xr2:uid="{00000000-000D-0000-FFFF-FFFF00000000}"/>
  </bookViews>
  <sheets>
    <sheet name="op1" sheetId="1" r:id="rId1"/>
    <sheet name="op2" sheetId="2" r:id="rId2"/>
    <sheet name="R1R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3" l="1"/>
  <c r="L3" i="3"/>
  <c r="L4" i="3"/>
  <c r="L5" i="3"/>
  <c r="L2" i="3"/>
  <c r="J2" i="3"/>
  <c r="K2" i="3"/>
  <c r="K3" i="3"/>
  <c r="K4" i="3"/>
  <c r="K5" i="3"/>
  <c r="J3" i="3"/>
  <c r="J4" i="3"/>
  <c r="J5" i="3"/>
  <c r="I3" i="3"/>
  <c r="I4" i="3"/>
  <c r="I5" i="3"/>
  <c r="I2" i="3"/>
  <c r="L6" i="2"/>
  <c r="L3" i="2"/>
  <c r="L4" i="2"/>
  <c r="L5" i="2"/>
  <c r="L2" i="2"/>
  <c r="K2" i="2"/>
  <c r="J2" i="2"/>
  <c r="I2" i="2"/>
  <c r="K3" i="2"/>
  <c r="K4" i="2"/>
  <c r="K5" i="2"/>
  <c r="J3" i="2"/>
  <c r="J4" i="2"/>
  <c r="J5" i="2"/>
  <c r="I3" i="2"/>
  <c r="I4" i="2"/>
  <c r="I5" i="2"/>
  <c r="J26" i="1"/>
  <c r="J27" i="1"/>
  <c r="J28" i="1"/>
  <c r="I26" i="1"/>
  <c r="I27" i="1"/>
  <c r="I28" i="1"/>
  <c r="L25" i="1"/>
  <c r="L26" i="1"/>
  <c r="L27" i="1"/>
  <c r="L28" i="1"/>
  <c r="J25" i="1"/>
  <c r="I25" i="1"/>
  <c r="Q6" i="2"/>
  <c r="C18" i="2" a="1"/>
  <c r="C18" i="2"/>
  <c r="D15" i="1" a="1"/>
  <c r="D15" i="1"/>
  <c r="G4" i="2"/>
  <c r="O5" i="2"/>
  <c r="M5" i="2"/>
  <c r="N5" i="2" s="1"/>
  <c r="P5" i="2" s="1"/>
  <c r="M25" i="1"/>
  <c r="N25" i="1" s="1"/>
  <c r="O4" i="2"/>
  <c r="O3" i="2"/>
  <c r="O2" i="2"/>
  <c r="M4" i="2"/>
  <c r="N4" i="2" s="1"/>
  <c r="M3" i="2"/>
  <c r="N3" i="2" s="1"/>
  <c r="M2" i="2"/>
  <c r="N2" i="2" s="1"/>
  <c r="M26" i="1"/>
  <c r="N26" i="1" s="1"/>
  <c r="M27" i="1"/>
  <c r="N27" i="1" s="1"/>
  <c r="M28" i="1"/>
  <c r="N28" i="1" s="1"/>
  <c r="A11" i="2"/>
  <c r="A12" i="2"/>
  <c r="B12" i="2" s="1"/>
  <c r="G5" i="2"/>
  <c r="G3" i="2"/>
  <c r="G2" i="2"/>
  <c r="D3" i="1"/>
  <c r="D4" i="1"/>
  <c r="D5" i="1"/>
  <c r="D2" i="1"/>
  <c r="E4" i="1"/>
  <c r="E10" i="1"/>
  <c r="E2" i="1" a="1"/>
  <c r="E2" i="1" s="1"/>
  <c r="F2" i="1" a="1"/>
  <c r="F2" i="1" s="1"/>
  <c r="N29" i="1" l="1"/>
  <c r="P3" i="2"/>
  <c r="P4" i="2"/>
  <c r="A16" i="2"/>
  <c r="A15" i="2"/>
  <c r="P2" i="2"/>
  <c r="E12" i="1"/>
  <c r="E11" i="1"/>
  <c r="F11" i="1" s="1"/>
  <c r="E9" i="1"/>
  <c r="H2" i="1"/>
  <c r="G2" i="1"/>
  <c r="F9" i="1"/>
  <c r="F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<sst xmlns="http://schemas.openxmlformats.org/spreadsheetml/2006/main" count="109" uniqueCount="67">
  <si>
    <t>Rl</t>
  </si>
  <si>
    <t>V</t>
  </si>
  <si>
    <t>I (A)</t>
  </si>
  <si>
    <t>Ra</t>
  </si>
  <si>
    <t>delta</t>
  </si>
  <si>
    <t>Syx^2</t>
  </si>
  <si>
    <t>Sm^2</t>
  </si>
  <si>
    <t>Sb^2</t>
  </si>
  <si>
    <t>CHI.INV</t>
  </si>
  <si>
    <t>I</t>
  </si>
  <si>
    <t>Observed</t>
  </si>
  <si>
    <t>Expected</t>
  </si>
  <si>
    <t>CHITEST</t>
  </si>
  <si>
    <t>mn,mn-1,...,m1</t>
  </si>
  <si>
    <t>b</t>
  </si>
  <si>
    <t>standard error values for the coefficients m1,m2,...,mn.</t>
  </si>
  <si>
    <t>sen, sen-1,...,se1</t>
  </si>
  <si>
    <t>seb</t>
  </si>
  <si>
    <t>standard error value for the constant b</t>
  </si>
  <si>
    <t>coefficient of determination.</t>
  </si>
  <si>
    <t>r^2</t>
  </si>
  <si>
    <t>sey</t>
  </si>
  <si>
    <t>The standard error for the y estimate.</t>
  </si>
  <si>
    <t>F statistic, or the F-observed value</t>
  </si>
  <si>
    <t>F</t>
  </si>
  <si>
    <t>df</t>
  </si>
  <si>
    <t>degrees of freedom</t>
  </si>
  <si>
    <t>regression sum of squares.</t>
  </si>
  <si>
    <t>ssreg</t>
  </si>
  <si>
    <t>ssresid</t>
  </si>
  <si>
    <t>residual sum of squares</t>
  </si>
  <si>
    <t>Resistance</t>
  </si>
  <si>
    <t>Uncertainty</t>
  </si>
  <si>
    <t>Voltage V</t>
  </si>
  <si>
    <t>Current</t>
  </si>
  <si>
    <t>Resistance of ammeter</t>
  </si>
  <si>
    <t>D(R/V)</t>
  </si>
  <si>
    <t>D(R/I)</t>
  </si>
  <si>
    <t>D(R/Rl)</t>
  </si>
  <si>
    <t>Uncertainty of V/Ia</t>
  </si>
  <si>
    <t xml:space="preserve">Uncertainty of Rl </t>
  </si>
  <si>
    <t>Uncertainty RvM1</t>
  </si>
  <si>
    <t xml:space="preserve">Uncertainty </t>
  </si>
  <si>
    <t>, A</t>
  </si>
  <si>
    <t> </t>
  </si>
  <si>
    <t>Current A</t>
  </si>
  <si>
    <t>Uncertainty A</t>
  </si>
  <si>
    <t>Resistance of voltmeter</t>
  </si>
  <si>
    <t>D(IR)</t>
  </si>
  <si>
    <t>D(IR-V)</t>
  </si>
  <si>
    <t>D(VR)</t>
  </si>
  <si>
    <t>D(VR/(IR-V))</t>
  </si>
  <si>
    <t>m</t>
  </si>
  <si>
    <t xml:space="preserve">  </t>
  </si>
  <si>
    <t>expected</t>
  </si>
  <si>
    <t>chi</t>
  </si>
  <si>
    <t>DRa</t>
  </si>
  <si>
    <t>Rv</t>
  </si>
  <si>
    <t>DRv</t>
  </si>
  <si>
    <t>m1</t>
  </si>
  <si>
    <t>Dm1</t>
  </si>
  <si>
    <t>m2</t>
  </si>
  <si>
    <t>Dm2</t>
  </si>
  <si>
    <t>D(R1/m1)</t>
  </si>
  <si>
    <t>D(R1/Rv)</t>
  </si>
  <si>
    <t>D(R1)</t>
  </si>
  <si>
    <t>D(R2)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</si>
</sst>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16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2"/>
      <color rgb="FF1E1E1E"/>
      <name val="Segoe UI"/>
      <family val="2"/>
    </font>
    <font>
      <sz val="12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2"/>
      <color rgb="FF1E1E1E"/>
      <name val="Segoe UI"/>
      <charset val="1"/>
    </font>
    <font>
      <sz val="12.8"/>
      <color rgb="FF1E1E1E"/>
      <name val="Segoe UI"/>
      <charset val="1"/>
    </font>
    <font>
      <sz val="10"/>
      <color theme="1"/>
      <name val="Calibri"/>
    </font>
    <font>
      <sz val="10"/>
      <color rgb="FF000000"/>
      <name val="Calibri"/>
      <family val="2"/>
      <charset val="1"/>
    </font>
    <font>
      <sz val="10"/>
      <color rgb="FF000000"/>
      <name val="Calibri"/>
      <charset val="1"/>
    </font>
    <font>
      <sz val="10"/>
      <color rgb="FF1E1E1E"/>
      <name val="Segoe UI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2" borderId="0" xfId="0" applyFont="1" applyFill="1" applyAlignment="1">
      <alignment wrapText="1"/>
    </xf>
    <xf numFmtId="164" fontId="0" fillId="0" borderId="0" xfId="0" applyNumberFormat="1"/>
    <xf numFmtId="0" fontId="5" fillId="0" borderId="0" xfId="0" applyFont="1" applyBorder="1"/>
    <xf numFmtId="0" fontId="6" fillId="0" borderId="0" xfId="0" applyFont="1" applyBorder="1"/>
    <xf numFmtId="0" fontId="0" fillId="0" borderId="0" xfId="0" applyBorder="1"/>
    <xf numFmtId="0" fontId="7" fillId="0" borderId="0" xfId="0" applyFont="1" applyBorder="1"/>
    <xf numFmtId="0" fontId="8" fillId="0" borderId="0" xfId="0" applyFont="1"/>
    <xf numFmtId="0" fontId="9" fillId="3" borderId="1" xfId="0" applyFont="1" applyFill="1" applyBorder="1" applyAlignment="1">
      <alignment wrapText="1"/>
    </xf>
    <xf numFmtId="0" fontId="0" fillId="4" borderId="0" xfId="0" applyFill="1"/>
    <xf numFmtId="0" fontId="10" fillId="0" borderId="0" xfId="0" applyFont="1"/>
    <xf numFmtId="0" fontId="6" fillId="0" borderId="2" xfId="0" applyFont="1" applyBorder="1"/>
    <xf numFmtId="0" fontId="0" fillId="0" borderId="3" xfId="0" applyBorder="1"/>
    <xf numFmtId="0" fontId="6" fillId="0" borderId="3" xfId="0" applyFont="1" applyBorder="1"/>
    <xf numFmtId="0" fontId="5" fillId="0" borderId="4" xfId="0" applyFont="1" applyBorder="1"/>
    <xf numFmtId="0" fontId="7" fillId="0" borderId="4" xfId="0" applyFont="1" applyBorder="1"/>
    <xf numFmtId="0" fontId="11" fillId="0" borderId="4" xfId="0" applyFont="1" applyBorder="1"/>
    <xf numFmtId="0" fontId="12" fillId="0" borderId="0" xfId="0" quotePrefix="1" applyFont="1"/>
    <xf numFmtId="0" fontId="13" fillId="0" borderId="0" xfId="0" applyFont="1"/>
    <xf numFmtId="0" fontId="13" fillId="3" borderId="1" xfId="0" applyFont="1" applyFill="1" applyBorder="1" applyAlignment="1">
      <alignment wrapText="1"/>
    </xf>
    <xf numFmtId="0" fontId="0" fillId="5" borderId="0" xfId="0" applyFill="1"/>
    <xf numFmtId="0" fontId="5" fillId="0" borderId="0" xfId="0" applyFont="1"/>
    <xf numFmtId="0" fontId="15" fillId="0" borderId="0" xfId="0" applyFont="1"/>
    <xf numFmtId="0" fontId="14" fillId="0" borderId="4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baseline="0">
                <a:effectLst/>
              </a:rPr>
              <a:t>Linear Fit of V vs 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'op1'!$C$8</c:f>
              <c:strCache>
                <c:ptCount val="1"/>
                <c:pt idx="0">
                  <c:v>Observed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1221566054243217E-2"/>
                  <c:y val="-0.383480242053076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fixedVal"/>
            <c:noEndCap val="0"/>
            <c:val val="5.000000000000001E-3"/>
            <c:spPr>
              <a:noFill/>
              <a:ln w="9525" cap="flat" cmpd="sng" algn="ctr">
                <a:solidFill>
                  <a:srgbClr val="7030A0"/>
                </a:solidFill>
                <a:round/>
              </a:ln>
              <a:effectLst/>
            </c:spPr>
          </c:errBars>
          <c:xVal>
            <c:numRef>
              <c:f>'op1'!$B$9:$B$12</c:f>
              <c:numCache>
                <c:formatCode>General</c:formatCode>
                <c:ptCount val="4"/>
                <c:pt idx="0">
                  <c:v>6.4509999999999998E-2</c:v>
                </c:pt>
                <c:pt idx="1">
                  <c:v>2.9267999999999999E-2</c:v>
                </c:pt>
                <c:pt idx="2">
                  <c:v>1.3944E-2</c:v>
                </c:pt>
                <c:pt idx="3">
                  <c:v>2.4139999999999999E-3</c:v>
                </c:pt>
              </c:numCache>
            </c:numRef>
          </c:xVal>
          <c:yVal>
            <c:numRef>
              <c:f>'op1'!$C$9:$C$12</c:f>
              <c:numCache>
                <c:formatCode>General</c:formatCode>
                <c:ptCount val="4"/>
                <c:pt idx="0">
                  <c:v>6.4980000000000002</c:v>
                </c:pt>
                <c:pt idx="1">
                  <c:v>6.4989999999999997</c:v>
                </c:pt>
                <c:pt idx="2">
                  <c:v>6.5</c:v>
                </c:pt>
                <c:pt idx="3">
                  <c:v>6.5010000000000003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9D-4361-BDCC-6E1D912124C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32714479"/>
        <c:axId val="1732717391"/>
      </c:scatterChart>
      <c:valAx>
        <c:axId val="1732714479"/>
        <c:scaling>
          <c:orientation val="minMax"/>
          <c:min val="-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baseline="0">
                    <a:effectLst/>
                  </a:rPr>
                  <a:t>Current Measured by the Ammeter (</a:t>
                </a:r>
                <a:r>
                  <a:rPr lang="en-CA" sz="1000" b="1" i="1" baseline="0">
                    <a:effectLst/>
                  </a:rPr>
                  <a:t>I</a:t>
                </a:r>
                <a:r>
                  <a:rPr lang="en-CA" sz="1000" b="0" i="0" baseline="0">
                    <a:effectLst/>
                  </a:rPr>
                  <a:t>)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6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717391"/>
        <c:crosses val="autoZero"/>
        <c:crossBetween val="midCat"/>
      </c:valAx>
      <c:valAx>
        <c:axId val="173271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baseline="0">
                    <a:effectLst/>
                  </a:rPr>
                  <a:t>Voltage Measured by the Voltmeter (</a:t>
                </a:r>
                <a:r>
                  <a:rPr lang="en-CA" sz="1000" b="1" i="1" baseline="0">
                    <a:effectLst/>
                  </a:rPr>
                  <a:t>V</a:t>
                </a:r>
                <a:r>
                  <a:rPr lang="en-CA" sz="1000" b="0" i="0" baseline="0">
                    <a:effectLst/>
                  </a:rPr>
                  <a:t>)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714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baseline="0">
                <a:effectLst/>
              </a:rPr>
              <a:t>Linear Fit of V vs I</a:t>
            </a:r>
            <a:endParaRPr lang="en-CA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719095550968546"/>
                  <c:y val="-0.163962994554909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5.0000000000000012E-4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'op2'!$C$11:$C$14</c:f>
              <c:numCache>
                <c:formatCode>General</c:formatCode>
                <c:ptCount val="4"/>
                <c:pt idx="0">
                  <c:v>6.2000000000000003E-5</c:v>
                </c:pt>
                <c:pt idx="1">
                  <c:v>2.4000000000000001E-4</c:v>
                </c:pt>
                <c:pt idx="2">
                  <c:v>2.4139999999999999E-3</c:v>
                </c:pt>
                <c:pt idx="3">
                  <c:v>1.3946E-2</c:v>
                </c:pt>
              </c:numCache>
            </c:numRef>
          </c:xVal>
          <c:yVal>
            <c:numRef>
              <c:f>'op2'!$D$11:$D$14</c:f>
              <c:numCache>
                <c:formatCode>General</c:formatCode>
                <c:ptCount val="4"/>
                <c:pt idx="0">
                  <c:v>6.5010000000000003</c:v>
                </c:pt>
                <c:pt idx="1">
                  <c:v>6.5010000000000003</c:v>
                </c:pt>
                <c:pt idx="2">
                  <c:v>6.4969999999999999</c:v>
                </c:pt>
                <c:pt idx="3">
                  <c:v>6.476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0F-4D08-A0BA-2C02C999A36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37863375"/>
        <c:axId val="1337860879"/>
      </c:scatterChart>
      <c:valAx>
        <c:axId val="1337863375"/>
        <c:scaling>
          <c:orientation val="minMax"/>
          <c:max val="2.0000000000000004E-2"/>
          <c:min val="-1.0000000000000002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baseline="0">
                    <a:effectLst/>
                  </a:rPr>
                  <a:t>Current Measured by the Ammeter (</a:t>
                </a:r>
                <a:r>
                  <a:rPr lang="en-CA" sz="1000" b="1" i="1" baseline="0">
                    <a:effectLst/>
                  </a:rPr>
                  <a:t>I</a:t>
                </a:r>
                <a:r>
                  <a:rPr lang="en-CA" sz="1000" b="0" i="0" baseline="0">
                    <a:effectLst/>
                  </a:rPr>
                  <a:t>) (A)</a:t>
                </a:r>
                <a:endParaRPr lang="en-CA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860879"/>
        <c:crosses val="autoZero"/>
        <c:crossBetween val="midCat"/>
      </c:valAx>
      <c:valAx>
        <c:axId val="1337860879"/>
        <c:scaling>
          <c:orientation val="minMax"/>
          <c:min val="6.47500000000000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baseline="0">
                    <a:effectLst/>
                  </a:rPr>
                  <a:t>Voltage Measured by the Voltmeter (</a:t>
                </a:r>
                <a:r>
                  <a:rPr lang="en-CA" sz="1000" b="1" i="1" baseline="0">
                    <a:effectLst/>
                  </a:rPr>
                  <a:t>V</a:t>
                </a:r>
                <a:r>
                  <a:rPr lang="en-CA" sz="1000" b="0" i="0" baseline="0">
                    <a:effectLst/>
                  </a:rPr>
                  <a:t>) (V)</a:t>
                </a:r>
                <a:endParaRPr lang="en-CA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863375"/>
        <c:crosses val="autoZero"/>
        <c:crossBetween val="midCat"/>
        <c:majorUnit val="5.000000000000001E-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88900</xdr:colOff>
      <xdr:row>2</xdr:row>
      <xdr:rowOff>165100</xdr:rowOff>
    </xdr:from>
    <xdr:to>
      <xdr:col>19</xdr:col>
      <xdr:colOff>342900</xdr:colOff>
      <xdr:row>17</xdr:row>
      <xdr:rowOff>146050</xdr:rowOff>
    </xdr:to>
    <xdr:graphicFrame macro="">
      <xdr:nvGraphicFramePr>
        <xdr:cNvPr id="25" name="Chart 2">
          <a:extLst>
            <a:ext uri="{FF2B5EF4-FFF2-40B4-BE49-F238E27FC236}">
              <a16:creationId xmlns:a16="http://schemas.microsoft.com/office/drawing/2014/main" id="{EA3C88C7-1769-4BC2-A634-5087B1893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546098</xdr:colOff>
      <xdr:row>7</xdr:row>
      <xdr:rowOff>79374</xdr:rowOff>
    </xdr:from>
    <xdr:to>
      <xdr:col>21</xdr:col>
      <xdr:colOff>411194</xdr:colOff>
      <xdr:row>26</xdr:row>
      <xdr:rowOff>133350</xdr:rowOff>
    </xdr:to>
    <xdr:graphicFrame macro="">
      <xdr:nvGraphicFramePr>
        <xdr:cNvPr id="56" name="Chart 2">
          <a:extLst>
            <a:ext uri="{FF2B5EF4-FFF2-40B4-BE49-F238E27FC236}">
              <a16:creationId xmlns:a16="http://schemas.microsoft.com/office/drawing/2014/main" id="{A19C9228-CDAF-4343-B481-3CE298DE4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opLeftCell="C26" workbookViewId="0">
      <selection activeCell="L25" sqref="L25:L28"/>
    </sheetView>
  </sheetViews>
  <sheetFormatPr defaultRowHeight="15"/>
  <cols>
    <col min="2" max="2" width="10.7109375" customWidth="1"/>
    <col min="3" max="3" width="9.5703125" customWidth="1"/>
    <col min="4" max="4" width="11.140625" customWidth="1"/>
    <col min="5" max="5" width="11.5703125" customWidth="1"/>
    <col min="6" max="6" width="10.28515625" customWidth="1"/>
    <col min="7" max="7" width="18.5703125" customWidth="1"/>
    <col min="8" max="12" width="11.85546875" customWidth="1"/>
    <col min="13" max="13" width="17.42578125" customWidth="1"/>
    <col min="14" max="14" width="19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>
      <c r="A2" s="6">
        <v>104.1</v>
      </c>
      <c r="B2" s="1">
        <v>6.4980000000000002</v>
      </c>
      <c r="C2" s="1">
        <v>6.4509999999999998E-2</v>
      </c>
      <c r="D2" s="1">
        <f>B2/C2-A2</f>
        <v>-3.3714307859246446</v>
      </c>
      <c r="E2" s="1" cm="1">
        <f t="array" ref="E2">4*SUM(B2:B5^2)-(SUM(B2:B5)^2)</f>
        <v>1.9999999949504854E-5</v>
      </c>
      <c r="F2" cm="1">
        <f t="array" ref="F2">(1/2)*SUM((C2:C5-(131.07-20.161*B2:B5))^2)</f>
        <v>1.499022769996405E-4</v>
      </c>
      <c r="G2">
        <f>4*F2/E2</f>
        <v>29.980455475621472</v>
      </c>
      <c r="H2">
        <f>F2*SUM(B2:B5)/E2</f>
        <v>194.85797036380177</v>
      </c>
    </row>
    <row r="3" spans="1:8" ht="15.75">
      <c r="A3" s="6">
        <v>220.3</v>
      </c>
      <c r="B3" s="1">
        <v>6.4989999999999997</v>
      </c>
      <c r="C3" s="2">
        <v>2.9267999999999999E-2</v>
      </c>
      <c r="D3" s="1">
        <f t="shared" ref="D3:D5" si="0">B3/C3-A3</f>
        <v>1.751387180538444</v>
      </c>
      <c r="E3" t="s">
        <v>8</v>
      </c>
    </row>
    <row r="4" spans="1:8" ht="15.75">
      <c r="A4" s="6">
        <v>464.5</v>
      </c>
      <c r="B4" s="1">
        <v>6.5</v>
      </c>
      <c r="C4" s="1">
        <v>1.3944E-2</v>
      </c>
      <c r="D4" s="1">
        <f t="shared" si="0"/>
        <v>1.6503155479059046</v>
      </c>
      <c r="E4">
        <f>_xlfn.CHISQ.INV(0.95,2)</f>
        <v>5.9914645471079799</v>
      </c>
    </row>
    <row r="5" spans="1:8" ht="15.75">
      <c r="A5" s="6">
        <v>2691</v>
      </c>
      <c r="B5" s="1">
        <v>6.5010000000000003</v>
      </c>
      <c r="C5" s="1">
        <v>2.4139999999999999E-3</v>
      </c>
      <c r="D5" s="1">
        <f t="shared" si="0"/>
        <v>2.0405965202985499</v>
      </c>
      <c r="E5" s="1"/>
    </row>
    <row r="6" spans="1:8">
      <c r="E6" s="3"/>
    </row>
    <row r="8" spans="1:8">
      <c r="B8" t="s">
        <v>9</v>
      </c>
      <c r="C8" t="s">
        <v>10</v>
      </c>
      <c r="E8" t="s">
        <v>11</v>
      </c>
      <c r="F8" t="s">
        <v>12</v>
      </c>
    </row>
    <row r="9" spans="1:8">
      <c r="B9" s="1">
        <v>6.4509999999999998E-2</v>
      </c>
      <c r="C9" s="1">
        <v>6.4980000000000002</v>
      </c>
      <c r="D9" s="1"/>
      <c r="E9">
        <f>B9*D15+E15</f>
        <v>6.4977948236577729</v>
      </c>
      <c r="F9" s="5">
        <f>CHITEST(C9:C12,E9:E12)</f>
        <v>0.99999999999665867</v>
      </c>
    </row>
    <row r="10" spans="1:8">
      <c r="B10" s="2">
        <v>2.9267999999999999E-2</v>
      </c>
      <c r="C10" s="1">
        <v>6.4989999999999997</v>
      </c>
      <c r="D10" s="1"/>
      <c r="E10">
        <f>B10*D15+E15</f>
        <v>6.4994200352721379</v>
      </c>
      <c r="F10" s="5">
        <f>_xlfn.CHISQ.TEST(C9:C12,E9:E12)</f>
        <v>0.99999999999665867</v>
      </c>
    </row>
    <row r="11" spans="1:8">
      <c r="B11" s="1">
        <v>1.3944E-2</v>
      </c>
      <c r="C11" s="1">
        <v>6.5</v>
      </c>
      <c r="D11" s="1"/>
      <c r="E11">
        <f>B11*D15+E15</f>
        <v>6.500126713178572</v>
      </c>
      <c r="F11" s="5">
        <f>CHITEST(C11:C14,E11:E14)</f>
        <v>0.99999999999922407</v>
      </c>
    </row>
    <row r="12" spans="1:8">
      <c r="B12" s="1">
        <v>2.4139999999999999E-3</v>
      </c>
      <c r="C12" s="1">
        <v>6.5010000000000003</v>
      </c>
      <c r="D12" s="1"/>
      <c r="E12">
        <f>B12*D15+E15</f>
        <v>6.5006584278915174</v>
      </c>
    </row>
    <row r="15" spans="1:8">
      <c r="C15" t="s">
        <v>13</v>
      </c>
      <c r="D15" cm="1">
        <f t="array" ref="D15:E19">LINEST(C9:C12,B9:B12, TRUE,TRUE)</f>
        <v>-4.6115760012630083E-2</v>
      </c>
      <c r="E15">
        <v>6.500769751336188</v>
      </c>
      <c r="F15" t="s">
        <v>14</v>
      </c>
    </row>
    <row r="16" spans="1:8" ht="17.25">
      <c r="B16" s="10" t="s">
        <v>15</v>
      </c>
      <c r="C16" t="s">
        <v>16</v>
      </c>
      <c r="D16">
        <v>8.9634988263780045E-3</v>
      </c>
      <c r="E16">
        <v>3.2375540013078382E-4</v>
      </c>
      <c r="F16" t="s">
        <v>17</v>
      </c>
      <c r="G16" s="10" t="s">
        <v>18</v>
      </c>
    </row>
    <row r="17" spans="1:18" ht="56.25">
      <c r="B17" s="10" t="s">
        <v>19</v>
      </c>
      <c r="C17" t="s">
        <v>20</v>
      </c>
      <c r="D17">
        <v>0.92974906076651964</v>
      </c>
      <c r="E17" s="12">
        <v>4.1907916684526893E-4</v>
      </c>
      <c r="F17" t="s">
        <v>21</v>
      </c>
      <c r="G17" s="11" t="s">
        <v>22</v>
      </c>
    </row>
    <row r="18" spans="1:18" ht="17.25">
      <c r="B18" s="10" t="s">
        <v>23</v>
      </c>
      <c r="C18" t="s">
        <v>24</v>
      </c>
      <c r="D18">
        <v>26.469370257854628</v>
      </c>
      <c r="E18">
        <v>2</v>
      </c>
      <c r="F18" t="s">
        <v>25</v>
      </c>
      <c r="G18" s="10" t="s">
        <v>26</v>
      </c>
    </row>
    <row r="19" spans="1:18" ht="17.25">
      <c r="B19" s="10" t="s">
        <v>27</v>
      </c>
      <c r="C19" t="s">
        <v>28</v>
      </c>
      <c r="D19">
        <v>4.6487453038332261E-6</v>
      </c>
      <c r="E19">
        <v>3.5125469616744953E-7</v>
      </c>
      <c r="F19" t="s">
        <v>29</v>
      </c>
      <c r="G19" s="10" t="s">
        <v>30</v>
      </c>
    </row>
    <row r="21" spans="1:18" ht="17.25">
      <c r="E21" s="4"/>
    </row>
    <row r="23" spans="1:18">
      <c r="A23" s="14" t="s">
        <v>31</v>
      </c>
      <c r="B23" s="14" t="s">
        <v>32</v>
      </c>
      <c r="C23" s="14" t="s">
        <v>33</v>
      </c>
      <c r="D23" s="14" t="s">
        <v>32</v>
      </c>
      <c r="E23" s="14" t="s">
        <v>34</v>
      </c>
      <c r="F23" s="14" t="s">
        <v>32</v>
      </c>
      <c r="G23" s="14" t="s">
        <v>35</v>
      </c>
      <c r="H23" s="14" t="s">
        <v>32</v>
      </c>
      <c r="I23" s="7" t="s">
        <v>36</v>
      </c>
      <c r="J23" s="7" t="s">
        <v>37</v>
      </c>
      <c r="K23" s="7" t="s">
        <v>38</v>
      </c>
      <c r="L23" s="7" t="s">
        <v>32</v>
      </c>
      <c r="M23" s="23" t="s">
        <v>39</v>
      </c>
      <c r="N23" s="23" t="s">
        <v>40</v>
      </c>
      <c r="P23" t="s">
        <v>41</v>
      </c>
      <c r="R23" t="s">
        <v>42</v>
      </c>
    </row>
    <row r="24" spans="1:18">
      <c r="A24" s="15"/>
      <c r="B24" s="15"/>
      <c r="C24" s="15"/>
      <c r="D24" s="16" t="s">
        <v>1</v>
      </c>
      <c r="E24" s="16" t="s">
        <v>43</v>
      </c>
      <c r="F24" s="16" t="s">
        <v>43</v>
      </c>
      <c r="G24" s="15"/>
      <c r="H24" s="15"/>
      <c r="I24" s="8"/>
      <c r="J24" s="8"/>
      <c r="K24" s="8"/>
      <c r="L24" s="8"/>
      <c r="M24" s="23"/>
      <c r="N24" s="23"/>
    </row>
    <row r="25" spans="1:18" ht="15.75">
      <c r="A25" s="17">
        <v>104.1</v>
      </c>
      <c r="B25" s="17">
        <v>0.01</v>
      </c>
      <c r="C25" s="18">
        <v>6.4980000000000002</v>
      </c>
      <c r="D25" s="17">
        <v>1E-3</v>
      </c>
      <c r="E25" s="18">
        <v>6.4509999999999998E-2</v>
      </c>
      <c r="F25" s="18">
        <v>5.0000000000000004E-6</v>
      </c>
      <c r="G25" s="18">
        <v>-3.371</v>
      </c>
      <c r="H25" s="18"/>
      <c r="I25" s="9">
        <f>1/E25</f>
        <v>15.501472639900792</v>
      </c>
      <c r="J25" s="9">
        <f>-C25/(E25^2)</f>
        <v>-1561.4411597283422</v>
      </c>
      <c r="K25" s="9">
        <v>-1</v>
      </c>
      <c r="L25" s="9">
        <f>((I25*D25)^2+(J25*F25)^2+(K25*B25)^2)^(1/2)</f>
        <v>2.0031178607059986E-2</v>
      </c>
      <c r="M25" s="23">
        <f>(((D25/C25)^2+(F25/E25)^2)^(1/2))*(C25/E25)</f>
        <v>1.7356500695357272E-2</v>
      </c>
      <c r="N25" s="23">
        <f>(M25^2+B25^2)^(1/2)</f>
        <v>2.0031178607059982E-2</v>
      </c>
    </row>
    <row r="26" spans="1:18" ht="15.75">
      <c r="A26" s="17">
        <v>220.3</v>
      </c>
      <c r="B26" s="17">
        <v>0.01</v>
      </c>
      <c r="C26" s="18">
        <v>6.4989999999999997</v>
      </c>
      <c r="D26" s="17">
        <v>1E-3</v>
      </c>
      <c r="E26" s="18">
        <v>2.9267999999999999E-2</v>
      </c>
      <c r="F26" s="18">
        <v>5.0000000000000004E-6</v>
      </c>
      <c r="G26" s="19">
        <v>1.7513871809999999</v>
      </c>
      <c r="H26" s="18" t="s">
        <v>44</v>
      </c>
      <c r="I26" s="9">
        <f t="shared" ref="I26:I28" si="1">1/E26</f>
        <v>34.167008336750037</v>
      </c>
      <c r="J26" s="9">
        <f t="shared" ref="J26:J28" si="2">-C26/(E26^2)</f>
        <v>-7586.831596984367</v>
      </c>
      <c r="K26" s="9">
        <v>-1</v>
      </c>
      <c r="L26" s="9">
        <f t="shared" ref="L26:L28" si="3">((I26*D26)^2+(J26*F26)^2+(K26*B26)^2)^(1/2)</f>
        <v>5.2022925722305893E-2</v>
      </c>
      <c r="M26" s="23">
        <f t="shared" ref="M26:M28" si="4">(((D26/C26)^2+(F26/E26)^2)^(1/2))*(C26/E26)</f>
        <v>5.1052764868404099E-2</v>
      </c>
      <c r="N26" s="23">
        <f t="shared" ref="N26:N29" si="5">(M26^2+B26^2)^(1/2)</f>
        <v>5.2022925722305886E-2</v>
      </c>
    </row>
    <row r="27" spans="1:18" ht="15.75">
      <c r="A27" s="17">
        <v>464.5</v>
      </c>
      <c r="B27" s="17">
        <v>0.01</v>
      </c>
      <c r="C27" s="18">
        <v>6.5</v>
      </c>
      <c r="D27" s="17">
        <v>1E-3</v>
      </c>
      <c r="E27" s="18">
        <v>1.3944E-2</v>
      </c>
      <c r="F27" s="18">
        <v>5.0000000000000004E-6</v>
      </c>
      <c r="G27" s="18">
        <v>1.65</v>
      </c>
      <c r="H27" s="18" t="s">
        <v>44</v>
      </c>
      <c r="I27" s="9">
        <f t="shared" si="1"/>
        <v>71.715433161216296</v>
      </c>
      <c r="J27" s="9">
        <f t="shared" si="2"/>
        <v>-33430.171797755735</v>
      </c>
      <c r="K27" s="9">
        <v>-1</v>
      </c>
      <c r="L27" s="9">
        <f t="shared" si="3"/>
        <v>0.18216067911101852</v>
      </c>
      <c r="M27" s="23">
        <f t="shared" si="4"/>
        <v>0.18188598905409797</v>
      </c>
      <c r="N27" s="23">
        <f t="shared" si="5"/>
        <v>0.18216067911101849</v>
      </c>
    </row>
    <row r="28" spans="1:18" ht="15.75">
      <c r="A28" s="17">
        <v>2691</v>
      </c>
      <c r="B28" s="17">
        <v>0.01</v>
      </c>
      <c r="C28" s="18">
        <v>6.5010000000000003</v>
      </c>
      <c r="D28" s="17">
        <v>1E-3</v>
      </c>
      <c r="E28" s="18">
        <v>2.4139999999999999E-3</v>
      </c>
      <c r="F28" s="18">
        <v>5.0000000000000004E-6</v>
      </c>
      <c r="G28" s="18">
        <v>2.0409999999999999</v>
      </c>
      <c r="H28" s="18" t="s">
        <v>44</v>
      </c>
      <c r="I28" s="9">
        <f t="shared" si="1"/>
        <v>414.2502071251036</v>
      </c>
      <c r="J28" s="9">
        <f t="shared" si="2"/>
        <v>-1115592.6249048461</v>
      </c>
      <c r="K28" s="9">
        <v>-1</v>
      </c>
      <c r="L28" s="9">
        <f t="shared" si="3"/>
        <v>5.5933331612425254</v>
      </c>
      <c r="M28" s="23">
        <f t="shared" si="4"/>
        <v>5.5933242220217592</v>
      </c>
      <c r="N28" s="23">
        <f t="shared" si="5"/>
        <v>5.5933331612425263</v>
      </c>
    </row>
    <row r="29" spans="1:18">
      <c r="M29" s="23"/>
      <c r="N29" s="23">
        <f>AVERAGE(N25:N28)</f>
        <v>1.4618869861707278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5D2CD-605F-4A14-BE5B-1269375FE06E}">
  <dimension ref="A1:Q22"/>
  <sheetViews>
    <sheetView topLeftCell="A12" workbookViewId="0">
      <selection activeCell="C19" sqref="C19"/>
    </sheetView>
  </sheetViews>
  <sheetFormatPr defaultRowHeight="14.45"/>
  <cols>
    <col min="1" max="1" width="13.5703125" customWidth="1"/>
    <col min="2" max="2" width="10.7109375" customWidth="1"/>
    <col min="3" max="3" width="9.5703125" customWidth="1"/>
    <col min="4" max="4" width="11.7109375" customWidth="1"/>
    <col min="5" max="5" width="11.42578125" customWidth="1"/>
    <col min="6" max="6" width="12.5703125" customWidth="1"/>
    <col min="7" max="7" width="19.7109375" customWidth="1"/>
    <col min="8" max="12" width="10.42578125" customWidth="1"/>
    <col min="16" max="16" width="20.28515625" customWidth="1"/>
    <col min="17" max="17" width="20.5703125" customWidth="1"/>
  </cols>
  <sheetData>
    <row r="1" spans="1:17" ht="15">
      <c r="A1" s="7" t="s">
        <v>31</v>
      </c>
      <c r="B1" s="7" t="s">
        <v>32</v>
      </c>
      <c r="C1" s="7" t="s">
        <v>33</v>
      </c>
      <c r="D1" s="7" t="s">
        <v>32</v>
      </c>
      <c r="E1" s="7" t="s">
        <v>45</v>
      </c>
      <c r="F1" s="7" t="s">
        <v>46</v>
      </c>
      <c r="G1" s="7" t="s">
        <v>47</v>
      </c>
      <c r="H1" s="7" t="s">
        <v>32</v>
      </c>
      <c r="I1" s="7" t="s">
        <v>36</v>
      </c>
      <c r="J1" s="7" t="s">
        <v>37</v>
      </c>
      <c r="K1" s="7" t="s">
        <v>38</v>
      </c>
      <c r="L1" s="7" t="s">
        <v>32</v>
      </c>
      <c r="M1" s="23" t="s">
        <v>48</v>
      </c>
      <c r="N1" s="23" t="s">
        <v>49</v>
      </c>
      <c r="O1" s="23" t="s">
        <v>50</v>
      </c>
      <c r="P1" s="23" t="s">
        <v>51</v>
      </c>
    </row>
    <row r="2" spans="1:17" ht="15.75">
      <c r="A2" s="6">
        <v>98950</v>
      </c>
      <c r="B2" s="6">
        <v>0.01</v>
      </c>
      <c r="C2" s="9">
        <v>6.5010000000000003</v>
      </c>
      <c r="D2" s="6">
        <v>1E-3</v>
      </c>
      <c r="E2" s="9">
        <v>6.2000000000000003E-5</v>
      </c>
      <c r="F2" s="9">
        <v>5.0000000000000004E-6</v>
      </c>
      <c r="G2" s="9">
        <f>(E2/C2-1/A2)^(-1)</f>
        <v>-1757099.0166621136</v>
      </c>
      <c r="H2" s="8"/>
      <c r="I2" s="8">
        <f>(E2*A2^2)/((E2*A2-C2)^2)</f>
        <v>4529224.3011803096</v>
      </c>
      <c r="J2" s="8">
        <f>(-C2*A2^2)/((E2*A2-C2)^2)</f>
        <v>-474911083580.21277</v>
      </c>
      <c r="K2" s="8">
        <f>(-C2^2)/((E2*A2-C2)^2)</f>
        <v>315.32679331617288</v>
      </c>
      <c r="L2" s="8">
        <f>((I2*D2)^2+(J2*F2)^2+(K2*B2)^2)^(1/2)</f>
        <v>2374559.7374178674</v>
      </c>
      <c r="M2" s="23">
        <f>((F2/E2)^2+(B2/A2)^2)^(1/2)*(A2*E2)</f>
        <v>0.49475000000038849</v>
      </c>
      <c r="N2" s="23">
        <f>(M2^2+D2^2)^(1/2)</f>
        <v>0.4947510106107762</v>
      </c>
      <c r="O2" s="23">
        <f>((D2/C2)^2+(B2/A2)^2)^(1/2)*(C2*A2)</f>
        <v>98.950021355733455</v>
      </c>
      <c r="P2" s="23">
        <f>((O2/(C2*A2))^2+(N2/(E2*A2-C2))^2)^(1/2)*((C2*A2)/(E2*A2-C2))</f>
        <v>-2374560.2837154139</v>
      </c>
      <c r="Q2">
        <v>2374560.284</v>
      </c>
    </row>
    <row r="3" spans="1:17" ht="15.75">
      <c r="A3" s="6">
        <v>27090.1</v>
      </c>
      <c r="B3" s="6">
        <v>0.01</v>
      </c>
      <c r="C3" s="9">
        <v>6.5010000000000003</v>
      </c>
      <c r="D3" s="6">
        <v>1E-3</v>
      </c>
      <c r="E3" s="9">
        <v>2.4000000000000001E-4</v>
      </c>
      <c r="F3" s="9">
        <v>5.0000000000000004E-6</v>
      </c>
      <c r="G3" s="9">
        <f>(E3/C3-1/A3)^(-1)</f>
        <v>282231955.28911608</v>
      </c>
      <c r="H3" s="9" t="s">
        <v>44</v>
      </c>
      <c r="I3" s="8">
        <f t="shared" ref="I3:I5" si="0">(E3*A3^2)/((E3*A3-C3)^2)</f>
        <v>452338213764.58691</v>
      </c>
      <c r="J3" s="8">
        <f t="shared" ref="J3:J5" si="1">(-C3*A3^2)/((E3*A3-C3)^2)</f>
        <v>-1.2252711365348248E+16</v>
      </c>
      <c r="K3" s="8">
        <f t="shared" ref="K3:K5" si="2">(-C3^2)/((E3*A3-C3)^2)</f>
        <v>108540333.76503929</v>
      </c>
      <c r="L3" s="8">
        <f>((I3*D3)^2+(J3*F3)^2+(K3*B3)^2)^(1/2)</f>
        <v>61265226728.553658</v>
      </c>
      <c r="M3" s="23">
        <f>((F3/E3)^2+(B3/A3)^2)^(1/2)*(A3*E3)</f>
        <v>0.13545050002126238</v>
      </c>
      <c r="N3" s="23">
        <f>(M3^2+D3^2)^(1/2)</f>
        <v>0.13545419135637701</v>
      </c>
      <c r="O3" s="23">
        <f>((D3/C3)^2+(B3/A3)^2)^(1/2)*(C3*A3)</f>
        <v>27.090178004400418</v>
      </c>
      <c r="P3" s="23">
        <f>((O3/(C3*A3))^2+(N3/(E3*A3-C3))^2)^(1/2)*((C3*A3)/(E3*A3-C3))</f>
        <v>61265226408.051414</v>
      </c>
      <c r="Q3">
        <v>61265226408</v>
      </c>
    </row>
    <row r="4" spans="1:17" ht="15.75">
      <c r="A4" s="6">
        <v>2691</v>
      </c>
      <c r="B4" s="6">
        <v>0.01</v>
      </c>
      <c r="C4" s="9">
        <v>6.4969999999999999</v>
      </c>
      <c r="D4" s="6">
        <v>1E-3</v>
      </c>
      <c r="E4" s="9">
        <v>2.4139999999999999E-3</v>
      </c>
      <c r="F4" s="9">
        <v>5.0000000000000004E-6</v>
      </c>
      <c r="G4" s="9">
        <f>(E4/C4-1/A4)^(-1)</f>
        <v>-18880590.712740432</v>
      </c>
      <c r="H4" s="9" t="s">
        <v>44</v>
      </c>
      <c r="I4" s="8">
        <f t="shared" si="0"/>
        <v>20386500769.711395</v>
      </c>
      <c r="J4" s="8">
        <f t="shared" si="1"/>
        <v>-54867893745159.453</v>
      </c>
      <c r="K4" s="8">
        <f t="shared" si="2"/>
        <v>49227044.255491517</v>
      </c>
      <c r="L4" s="8">
        <f t="shared" ref="L3:L5" si="3">((I4*D4)^2+(J4*F4)^2+(K4*B4)^2)^(1/2)</f>
        <v>275096339.20605844</v>
      </c>
      <c r="M4" s="23">
        <f>((F4/E4)^2+(B4/A4)^2)^(1/2)*(A4*E4)</f>
        <v>1.3455021655114497E-2</v>
      </c>
      <c r="N4" s="23">
        <f>(M4^2+D4^2)^(1/2)</f>
        <v>1.3492131326799337E-2</v>
      </c>
      <c r="O4" s="23">
        <f>((D4/C4)^2+(B4/A4)^2)^(1/2)*(C4*A4)</f>
        <v>2.6917841854242326</v>
      </c>
      <c r="P4" s="23">
        <f>((O4/(C4*A4))^2+(N4/(E4*A4-C4))^2)^(1/2)*((C4*A4)/(E4*A4-C4))</f>
        <v>-275096554.46893072</v>
      </c>
      <c r="Q4">
        <v>275096554.5</v>
      </c>
    </row>
    <row r="5" spans="1:17" ht="15.75">
      <c r="A5" s="6">
        <v>464.5</v>
      </c>
      <c r="B5" s="6">
        <v>0.01</v>
      </c>
      <c r="C5" s="9">
        <v>6.476</v>
      </c>
      <c r="D5" s="6">
        <v>1E-3</v>
      </c>
      <c r="E5" s="9">
        <v>1.3946E-2</v>
      </c>
      <c r="F5" s="9">
        <v>5.0000000000000004E-6</v>
      </c>
      <c r="G5" s="9">
        <f>(E5/C5-1/A5)^(-1)</f>
        <v>1569171.6223257873</v>
      </c>
      <c r="H5" s="9" t="s">
        <v>44</v>
      </c>
      <c r="I5" s="8">
        <f t="shared" si="0"/>
        <v>818798185.87741423</v>
      </c>
      <c r="J5" s="8">
        <f t="shared" si="1"/>
        <v>-380219206348.92688</v>
      </c>
      <c r="K5" s="8">
        <f t="shared" si="2"/>
        <v>11412202.110053405</v>
      </c>
      <c r="L5" s="8">
        <f t="shared" si="3"/>
        <v>2073070.2898868171</v>
      </c>
      <c r="M5" s="23">
        <f>((F5/E5)^2+(B5/A5)^2)^(1/2)*(A5*E5)</f>
        <v>2.3266833350501313E-3</v>
      </c>
      <c r="N5" s="23">
        <f>(M5^2+D5^2)^(1/2)</f>
        <v>2.532480077236542E-3</v>
      </c>
      <c r="O5" s="23">
        <f>((D5/C5)^2+(B5/A5)^2)^(1/2)*(C5*A5)</f>
        <v>0.46899265196802392</v>
      </c>
      <c r="P5" s="23">
        <f>((O5/(C5*A5))^2+(N5/(E5*A5-C5))^2)^(1/2)*((C5*A5)/(E5*A5-C5))</f>
        <v>2072976.4731262119</v>
      </c>
      <c r="Q5">
        <v>2072976.473</v>
      </c>
    </row>
    <row r="6" spans="1:17" ht="15">
      <c r="L6">
        <f>AVERAGE(L2:L5)</f>
        <v>15386192674.446754</v>
      </c>
      <c r="Q6">
        <f>AVERAGE(Q2:Q5)</f>
        <v>15386192624.814249</v>
      </c>
    </row>
    <row r="7" spans="1:17" ht="15"/>
    <row r="8" spans="1:17" ht="15"/>
    <row r="10" spans="1:17" ht="15">
      <c r="A10" t="s">
        <v>52</v>
      </c>
      <c r="B10" t="s">
        <v>14</v>
      </c>
      <c r="C10" t="s">
        <v>9</v>
      </c>
      <c r="D10" t="s">
        <v>1</v>
      </c>
      <c r="G10" t="s">
        <v>53</v>
      </c>
    </row>
    <row r="11" spans="1:17" ht="15">
      <c r="A11" t="e">
        <f>#REF!*A8+B8</f>
        <v>#REF!</v>
      </c>
      <c r="C11" s="13">
        <v>6.2000000000000003E-5</v>
      </c>
      <c r="D11" s="13">
        <v>6.5010000000000003</v>
      </c>
    </row>
    <row r="12" spans="1:17" ht="15">
      <c r="A12" t="e">
        <f>E1*A10+B10</f>
        <v>#VALUE!</v>
      </c>
      <c r="B12" t="e">
        <f>_xlfn.CHISQ.TEST(C1:C4,A12:A15)</f>
        <v>#VALUE!</v>
      </c>
      <c r="C12" s="13">
        <v>2.4000000000000001E-4</v>
      </c>
      <c r="D12" s="13">
        <v>6.5010000000000003</v>
      </c>
    </row>
    <row r="13" spans="1:17" ht="15">
      <c r="A13" t="s">
        <v>54</v>
      </c>
      <c r="B13" t="s">
        <v>55</v>
      </c>
      <c r="C13" s="13">
        <v>2.4139999999999999E-3</v>
      </c>
      <c r="D13" s="13">
        <v>6.4969999999999999</v>
      </c>
    </row>
    <row r="14" spans="1:17" ht="15">
      <c r="A14">
        <v>-4.6126608117573603E-2</v>
      </c>
      <c r="B14">
        <v>6.4939421403861104</v>
      </c>
      <c r="C14" s="13">
        <v>1.3946E-2</v>
      </c>
      <c r="D14" s="13">
        <v>6.476</v>
      </c>
    </row>
    <row r="15" spans="1:17" ht="15">
      <c r="A15" t="e">
        <f>E4*A11+B11</f>
        <v>#REF!</v>
      </c>
    </row>
    <row r="16" spans="1:17" ht="15">
      <c r="A16" t="e">
        <f>E5*A11+B11</f>
        <v>#REF!</v>
      </c>
    </row>
    <row r="18" spans="1:6" ht="15">
      <c r="A18" s="1"/>
      <c r="B18" s="1" t="s">
        <v>13</v>
      </c>
      <c r="C18" s="20" cm="1">
        <f t="array" ref="C18:D22">LINEST(E2:E5,C2:C5, TRUE,TRUE)</f>
        <v>-0.55137899013348202</v>
      </c>
      <c r="D18" s="1">
        <v>3.5846828171792993</v>
      </c>
      <c r="E18" s="1" t="s">
        <v>14</v>
      </c>
      <c r="F18" s="1"/>
    </row>
    <row r="19" spans="1:6" ht="15">
      <c r="A19" s="21" t="s">
        <v>15</v>
      </c>
      <c r="B19" s="1" t="s">
        <v>16</v>
      </c>
      <c r="C19" s="1">
        <v>4.5837635000471723E-3</v>
      </c>
      <c r="D19" s="1">
        <v>2.976585223526226E-2</v>
      </c>
      <c r="E19" s="1" t="s">
        <v>17</v>
      </c>
      <c r="F19" s="21" t="s">
        <v>18</v>
      </c>
    </row>
    <row r="20" spans="1:6" ht="42.75">
      <c r="A20" s="21" t="s">
        <v>19</v>
      </c>
      <c r="B20" s="1" t="s">
        <v>20</v>
      </c>
      <c r="C20" s="1">
        <v>0.99986179812091469</v>
      </c>
      <c r="D20" s="1">
        <v>9.5133800146663444E-5</v>
      </c>
      <c r="E20" s="1" t="s">
        <v>21</v>
      </c>
      <c r="F20" s="22" t="s">
        <v>22</v>
      </c>
    </row>
    <row r="21" spans="1:6" ht="15">
      <c r="A21" s="21" t="s">
        <v>23</v>
      </c>
      <c r="B21" s="1" t="s">
        <v>24</v>
      </c>
      <c r="C21" s="1">
        <v>14469.583260925856</v>
      </c>
      <c r="D21" s="1">
        <v>2</v>
      </c>
      <c r="E21" s="1" t="s">
        <v>25</v>
      </c>
      <c r="F21" s="21" t="s">
        <v>26</v>
      </c>
    </row>
    <row r="22" spans="1:6" ht="15">
      <c r="A22" s="21" t="s">
        <v>27</v>
      </c>
      <c r="B22" s="1" t="s">
        <v>28</v>
      </c>
      <c r="C22" s="1">
        <v>1.3095609412013933E-4</v>
      </c>
      <c r="D22" s="1">
        <v>1.8100879860690601E-8</v>
      </c>
      <c r="E22" s="1" t="s">
        <v>29</v>
      </c>
      <c r="F22" s="21" t="s">
        <v>30</v>
      </c>
    </row>
  </sheetData>
  <sortState xmlns:xlrd2="http://schemas.microsoft.com/office/spreadsheetml/2017/richdata2" ref="A2:P5">
    <sortCondition ref="E2:E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98514-8FAA-4E30-B77E-8F5126A8293C}">
  <dimension ref="A1:L6"/>
  <sheetViews>
    <sheetView tabSelected="1" workbookViewId="0">
      <selection activeCell="L7" sqref="L7"/>
    </sheetView>
  </sheetViews>
  <sheetFormatPr defaultRowHeight="15"/>
  <cols>
    <col min="3" max="3" width="11.140625" bestFit="1" customWidth="1"/>
  </cols>
  <sheetData>
    <row r="1" spans="1:12">
      <c r="A1" t="s">
        <v>3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s="12" t="s">
        <v>65</v>
      </c>
      <c r="L1" s="12" t="s">
        <v>66</v>
      </c>
    </row>
    <row r="2" spans="1:12" ht="15.75">
      <c r="A2" s="18">
        <v>-3.371</v>
      </c>
      <c r="B2" s="18">
        <v>0.02</v>
      </c>
      <c r="C2" s="18">
        <v>1569171.6</v>
      </c>
      <c r="D2" s="26">
        <v>2374559.7370000002</v>
      </c>
      <c r="E2" s="24">
        <v>-4.6120000000000001E-2</v>
      </c>
      <c r="F2" s="25">
        <v>8.9599999999999992E-3</v>
      </c>
      <c r="G2" s="24">
        <v>-4.6129999999999997E-2</v>
      </c>
      <c r="H2" s="24">
        <v>0.1993</v>
      </c>
      <c r="I2">
        <f>(-C2^2)/((C2+E2)^2)</f>
        <v>1.0000000587826112</v>
      </c>
      <c r="J2">
        <f>(-E2^2)/((C2+E2)^2)</f>
        <v>8.6384881943985013E-16</v>
      </c>
      <c r="K2">
        <f>((I2*F2)^2+(J2*D2)^2)^(1/2)</f>
        <v>8.9600005266924302E-3</v>
      </c>
      <c r="L2">
        <f>(B2^2+H2^2)^(1/2)</f>
        <v>0.20030099849975785</v>
      </c>
    </row>
    <row r="3" spans="1:12" ht="15.75">
      <c r="A3" s="19">
        <v>1.7513871809999999</v>
      </c>
      <c r="B3" s="18">
        <v>5.1999999999999998E-2</v>
      </c>
      <c r="C3" s="18">
        <v>-18880590.699999999</v>
      </c>
      <c r="D3" s="26">
        <v>61265226729</v>
      </c>
      <c r="E3" s="24">
        <v>-4.6120000000000001E-2</v>
      </c>
      <c r="F3" s="25">
        <v>8.9599999999999992E-3</v>
      </c>
      <c r="G3" s="24">
        <v>-4.6129999999999997E-2</v>
      </c>
      <c r="H3" s="24">
        <v>0.1993</v>
      </c>
      <c r="I3">
        <f t="shared" ref="I3:I5" si="0">(-C3^2)/((C3+E3)^2)</f>
        <v>0.99999999511455961</v>
      </c>
      <c r="J3">
        <f t="shared" ref="J3:J5" si="1">(-E3^2)/((C3+E3)^2)</f>
        <v>5.9668818710856194E-18</v>
      </c>
      <c r="K3">
        <f t="shared" ref="K3:K5" si="2">((I3*F3)^2+(J3*D3)^2)^(1/2)</f>
        <v>8.9599999636838113E-3</v>
      </c>
      <c r="L3">
        <f t="shared" ref="L3:L5" si="3">(B3^2+H3^2)^(1/2)</f>
        <v>0.20597206121219452</v>
      </c>
    </row>
    <row r="4" spans="1:12" ht="15.75">
      <c r="A4" s="18">
        <v>1.65</v>
      </c>
      <c r="B4" s="18">
        <v>0.1822</v>
      </c>
      <c r="C4" s="18">
        <v>282231955.30000001</v>
      </c>
      <c r="D4" s="26">
        <v>275096339.19999999</v>
      </c>
      <c r="E4" s="24">
        <v>-4.6120000000000001E-2</v>
      </c>
      <c r="F4" s="25">
        <v>8.9599999999999992E-3</v>
      </c>
      <c r="G4" s="24">
        <v>-4.6129999999999997E-2</v>
      </c>
      <c r="H4" s="24">
        <v>0.1993</v>
      </c>
      <c r="I4">
        <f t="shared" si="0"/>
        <v>1.0000000003268232</v>
      </c>
      <c r="J4">
        <f t="shared" si="1"/>
        <v>2.6703379525372113E-20</v>
      </c>
      <c r="K4">
        <f t="shared" si="2"/>
        <v>8.9600000029283356E-3</v>
      </c>
      <c r="L4">
        <f t="shared" si="3"/>
        <v>0.27003209068553313</v>
      </c>
    </row>
    <row r="5" spans="1:12" ht="15.75">
      <c r="A5" s="18">
        <v>2.0409999999999999</v>
      </c>
      <c r="B5" s="18">
        <v>5.5933000000000002</v>
      </c>
      <c r="C5" s="18">
        <v>-1757099</v>
      </c>
      <c r="D5" s="26">
        <v>2073070.29</v>
      </c>
      <c r="E5" s="24">
        <v>-4.6120000000000001E-2</v>
      </c>
      <c r="F5" s="25">
        <v>8.9599999999999992E-3</v>
      </c>
      <c r="G5" s="24">
        <v>-4.6129999999999997E-2</v>
      </c>
      <c r="H5" s="24">
        <v>0.1993</v>
      </c>
      <c r="I5">
        <f t="shared" si="0"/>
        <v>0.99999994750438281</v>
      </c>
      <c r="J5">
        <f t="shared" si="1"/>
        <v>6.8894747262065898E-16</v>
      </c>
      <c r="K5">
        <f t="shared" si="2"/>
        <v>8.9599995296393842E-3</v>
      </c>
      <c r="L5">
        <f t="shared" si="3"/>
        <v>5.5968495941913607</v>
      </c>
    </row>
    <row r="6" spans="1:12">
      <c r="L6">
        <f>AVERAGE(L2:L5)</f>
        <v>1.5682886861472116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4664A732DF3E4BA0B5D5F5799C4B59" ma:contentTypeVersion="12" ma:contentTypeDescription="Create a new document." ma:contentTypeScope="" ma:versionID="1c2a8f5b3a610cbf49bcd2375fbbc7bd">
  <xsd:schema xmlns:xsd="http://www.w3.org/2001/XMLSchema" xmlns:xs="http://www.w3.org/2001/XMLSchema" xmlns:p="http://schemas.microsoft.com/office/2006/metadata/properties" xmlns:ns3="48fa5185-e9ad-4e34-9a36-1e88eebff195" xmlns:ns4="d6db1b81-8dc0-4ef5-8d64-82e976c527da" targetNamespace="http://schemas.microsoft.com/office/2006/metadata/properties" ma:root="true" ma:fieldsID="c5504d4ac055f79c87013a7dfa942dca" ns3:_="" ns4:_="">
    <xsd:import namespace="48fa5185-e9ad-4e34-9a36-1e88eebff195"/>
    <xsd:import namespace="d6db1b81-8dc0-4ef5-8d64-82e976c527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fa5185-e9ad-4e34-9a36-1e88eebff1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b1b81-8dc0-4ef5-8d64-82e976c527d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13A4E4-D76E-4AE3-B249-8DC40EBEFEF9}"/>
</file>

<file path=customXml/itemProps2.xml><?xml version="1.0" encoding="utf-8"?>
<ds:datastoreItem xmlns:ds="http://schemas.openxmlformats.org/officeDocument/2006/customXml" ds:itemID="{A8BE00CE-D74C-4826-AED4-CCF88D14D8EF}"/>
</file>

<file path=customXml/itemProps3.xml><?xml version="1.0" encoding="utf-8"?>
<ds:datastoreItem xmlns:ds="http://schemas.openxmlformats.org/officeDocument/2006/customXml" ds:itemID="{E84073DC-D18F-496A-9345-6849DBC512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Cathy</dc:creator>
  <cp:keywords/>
  <dc:description/>
  <cp:lastModifiedBy/>
  <cp:revision/>
  <dcterms:created xsi:type="dcterms:W3CDTF">2015-06-05T18:17:20Z</dcterms:created>
  <dcterms:modified xsi:type="dcterms:W3CDTF">2021-10-13T00:25:40Z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0x010100214664A732DF3E4BA0B5D5F5799C4B59</vt:lpwstr>
  </property>
</Properties>
</file>